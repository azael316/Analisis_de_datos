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fmi\Documents\Trabajo\Análisis de datos\Análisis de datos Excel\Curso de Excel\"/>
    </mc:Choice>
  </mc:AlternateContent>
  <xr:revisionPtr revIDLastSave="0" documentId="13_ncr:1_{153FF49F-0265-4CA9-95AC-31C51198E6AB}" xr6:coauthVersionLast="47" xr6:coauthVersionMax="47" xr10:uidLastSave="{00000000-0000-0000-0000-000000000000}"/>
  <bookViews>
    <workbookView xWindow="3120" yWindow="3120" windowWidth="22590" windowHeight="12840" firstSheet="5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3" l="1"/>
  <c r="K3" i="13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L2" i="5"/>
  <c r="K2" i="5"/>
  <c r="J2" i="5"/>
  <c r="L2" i="12"/>
  <c r="K2" i="12"/>
  <c r="J2" i="12"/>
  <c r="K2" i="7" a="1"/>
  <c r="K2" i="7" s="1"/>
  <c r="J2" i="7" a="1"/>
  <c r="J2" i="7" s="1"/>
  <c r="L2" i="7" a="1"/>
  <c r="L2" i="7" s="1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11" i="1"/>
  <c r="J12" i="1"/>
  <c r="J2" i="1"/>
  <c r="J2" i="6" a="1"/>
  <c r="J2" i="6" s="1"/>
  <c r="K2" i="3" a="1"/>
  <c r="K2" i="3" s="1"/>
  <c r="J2" i="3" a="1"/>
  <c r="J2" i="3" s="1"/>
  <c r="L2" i="4" a="1"/>
  <c r="L2" i="4" s="1"/>
  <c r="K2" i="4" a="1"/>
  <c r="K2" i="4" s="1"/>
  <c r="J2" i="2" a="1"/>
  <c r="J2" i="2" s="1"/>
  <c r="K3" i="8" a="1"/>
  <c r="K3" i="8"/>
  <c r="K4" i="8" a="1"/>
  <c r="K4" i="8"/>
  <c r="K5" i="8" a="1"/>
  <c r="K5" i="8"/>
  <c r="K6" i="8" a="1"/>
  <c r="K6" i="8"/>
  <c r="K7" i="8" a="1"/>
  <c r="K7" i="8"/>
  <c r="K8" i="8" a="1"/>
  <c r="K8" i="8"/>
  <c r="K9" i="8" a="1"/>
  <c r="K9" i="8"/>
  <c r="K10" i="8" a="1"/>
  <c r="K10" i="8"/>
  <c r="K2" i="8" a="1"/>
  <c r="K2" i="8" s="1"/>
  <c r="L3" i="8"/>
  <c r="L4" i="8"/>
  <c r="L5" i="8"/>
  <c r="L6" i="8"/>
  <c r="L7" i="8"/>
  <c r="L8" i="8"/>
  <c r="L9" i="8"/>
  <c r="L10" i="8"/>
  <c r="L2" i="8"/>
  <c r="J2" i="8" a="1"/>
  <c r="J2" i="8" s="1"/>
  <c r="J4" i="9"/>
  <c r="K4" i="9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<sst xmlns="http://schemas.openxmlformats.org/spreadsheetml/2006/main" count="565" uniqueCount="89">
  <si>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</si>
  <si>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</si>
  <si>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</si>
  <si>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</si>
  <si>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</si>
  <si>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</si>
  <si>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</si>
  <si>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</si>
  <si>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</si>
  <si>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</si>
  <si>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</si>
  <si>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</si>
  <si>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</si>
  <si>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</si>
  <si>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</si>
  <si>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</si>
  <si>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</si>
  <si>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</si>
  <si>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</si>
  <si>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</si>
  <si>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</si>
  <si>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</si>
  <si>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</si>
  <si>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</si>
  <si>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</si>
  <si>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</si>
  <si>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</si>
  <si>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</si>
  <si>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</si>
  <si>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</si>
  <si>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</si>
  <si>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</si>
  <si>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</si>
  <si>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</si>
  <si>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</si>
  <si>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</si>
  <si>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</si>
  <si>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</si>
  <si>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</si>
  <si>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</si>
  <si>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</si>
  <si>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</si>
  <si>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</si>
  <si>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</si>
  <si>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</si>
  <si>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</si>
  <si>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</si>
  <si>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</si>
  <si>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</si>
  <si>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</si>
  <si>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</si>
  <si>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</si>
  <si>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</si>
  <si>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</si>
  <si>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</si>
  <si>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</si>
  <si>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</si>
  <si>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</si>
  <si>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</si>
  <si>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</si>
  <si>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</si>
  <si>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</si>
  <si>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</si>
  <si>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</si>
  <si>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</si>
  <si>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</si>
  <si>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</si>
  <si>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</si>
  <si>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</si>
  <si>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</si>
  <si>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</si>
  <si>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</si>
  <si>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</si>
  <si>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</si>
  <si>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</si>
  <si>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</si>
  <si>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</si>
  <si>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</si>
  <si>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</si>
  <si>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</si>
  <si>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</si>
  <si>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DAYS</t>
  </si>
  <si>
    <t>NETWORKDAYS</t>
  </si>
  <si>
    <t>Left</t>
  </si>
  <si>
    <t>Right</t>
  </si>
  <si>
    <t>IF/SI</t>
  </si>
  <si>
    <t>IFS/Si.CONJUNTO</t>
  </si>
  <si>
    <t>Y</t>
  </si>
  <si>
    <t>LARGO(B2)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</si>
</sst>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J5" sqref="J5"/>
    </sheetView>
  </sheetViews>
  <sheetFormatPr baseColWidth="10"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79</v>
      </c>
      <c r="K1" t="s">
        <v>80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1">
        <v>37197</v>
      </c>
      <c r="I2" s="1">
        <v>42253</v>
      </c>
      <c r="J2" s="3">
        <f>MAX(D3:D10)</f>
        <v>38</v>
      </c>
      <c r="K2" s="3">
        <f>MIN(D2:D10)</f>
        <v>29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1">
        <v>36711</v>
      </c>
      <c r="I4" s="1">
        <v>42986</v>
      </c>
      <c r="J4" s="1">
        <f>MAX(H2:H10)</f>
        <v>37933</v>
      </c>
      <c r="K4" s="1">
        <f>MIN(H2:H10)</f>
        <v>35040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L10"/>
  <sheetViews>
    <sheetView workbookViewId="0">
      <selection activeCell="L2" sqref="L2"/>
    </sheetView>
  </sheetViews>
  <sheetFormatPr baseColWidth="10" defaultColWidth="13.7109375" defaultRowHeight="15" x14ac:dyDescent="0.25"/>
  <cols>
    <col min="1" max="1" width="10.7109375" bestFit="1" customWidth="1"/>
    <col min="4" max="4" width="7.7109375" customWidth="1"/>
    <col min="11" max="11" width="18.85546875" customWidth="1"/>
  </cols>
  <sheetData>
    <row r="1" spans="1:12" x14ac:dyDescent="0.25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85</v>
      </c>
      <c r="K1" t="s">
        <v>86</v>
      </c>
      <c r="L1" t="s">
        <v>87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1">
        <v>37197</v>
      </c>
      <c r="I2" s="1">
        <v>42253</v>
      </c>
      <c r="J2" t="str" cm="1">
        <f t="array" ref="J2:J10">IF(D2:D10 &lt;=30, "Young","Old")</f>
        <v>Young</v>
      </c>
      <c r="K2" t="str" cm="1">
        <f t="array" ref="K2">_xlfn.IFS(AND(40000 &gt; G2, G2 &gt;= 30000),"Aumento 1000", AND(60000 &gt; G2, G2 &gt;= 40000),"Aumento 5000",G2 &gt;= 60000,"Aumento 10000")</f>
        <v>Aumento 5000</v>
      </c>
      <c r="L2" t="b">
        <f>AND(40000 &gt; G2, G2 &gt;= 30000)</f>
        <v>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1">
        <v>36436</v>
      </c>
      <c r="I3" s="1">
        <v>42287</v>
      </c>
      <c r="J3" t="str">
        <v>Young</v>
      </c>
      <c r="K3" t="str" cm="1">
        <f t="array" ref="K3">_xlfn.IFS(AND(40000 &gt; G3, G3 &gt;= 30000),"Aumento 1000", AND(60000 &gt; G3, G3 &gt;= 40000),"Aumento 5000",G3 &gt;= 60000,"Aumento 10000")</f>
        <v>Aumento 1000</v>
      </c>
      <c r="L3" t="b">
        <f t="shared" ref="L3:L10" si="0">AND(40000 &gt; G3, G3 &gt;= 30000)</f>
        <v>1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1">
        <v>36711</v>
      </c>
      <c r="I4" s="1">
        <v>42986</v>
      </c>
      <c r="J4" t="str">
        <v>Young</v>
      </c>
      <c r="K4" t="str" cm="1">
        <f t="array" ref="K4">_xlfn.IFS(AND(40000 &gt; G4, G4 &gt;= 30000),"Aumento 1000", AND(60000 &gt; G4, G4 &gt;= 40000),"Aumento 5000",G4 &gt;= 60000,"Aumento 10000")</f>
        <v>Aumento 10000</v>
      </c>
      <c r="L4" t="b">
        <f t="shared" si="0"/>
        <v>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1">
        <v>36530</v>
      </c>
      <c r="I5" s="1">
        <v>42341</v>
      </c>
      <c r="J5" t="str">
        <v>Old</v>
      </c>
      <c r="K5" t="str" cm="1">
        <f t="array" ref="K5">_xlfn.IFS(AND(40000 &gt; G5, G5 &gt;= 30000),"Aumento 1000", AND(60000 &gt; G5, G5 &gt;= 40000),"Aumento 5000",G5 &gt;= 60000,"Aumento 10000")</f>
        <v>Aumento 5000</v>
      </c>
      <c r="L5" t="b">
        <f t="shared" si="0"/>
        <v>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1">
        <v>37017</v>
      </c>
      <c r="I6" s="1">
        <v>42977</v>
      </c>
      <c r="J6" t="str">
        <v>Old</v>
      </c>
      <c r="K6" t="str" cm="1">
        <f t="array" ref="K6">_xlfn.IFS(AND(40000 &gt; G6, G6 &gt;= 30000),"Aumento 1000", AND(60000 &gt; G6, G6 &gt;= 40000),"Aumento 5000",G6 &gt;= 60000,"Aumento 10000")</f>
        <v>Aumento 5000</v>
      </c>
      <c r="L6" t="b">
        <f t="shared" si="0"/>
        <v>0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1">
        <v>35040</v>
      </c>
      <c r="I7" s="1">
        <v>41528</v>
      </c>
      <c r="J7" t="str">
        <v>Old</v>
      </c>
      <c r="K7" t="str" cm="1">
        <f t="array" ref="K7">_xlfn.IFS(AND(40000 &gt; G7, G7 &gt;= 30000),"Aumento 1000", AND(60000 &gt; G7, G7 &gt;= 40000),"Aumento 5000",G7 &gt;= 60000,"Aumento 10000")</f>
        <v>Aumento 10000</v>
      </c>
      <c r="L7" t="b">
        <f t="shared" si="0"/>
        <v>0</v>
      </c>
    </row>
    <row r="8" spans="1:12" x14ac:dyDescent="0.25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1">
        <v>37933</v>
      </c>
      <c r="I8" s="1">
        <v>41551</v>
      </c>
      <c r="J8" t="str">
        <v>Old</v>
      </c>
      <c r="K8" t="str" cm="1">
        <f t="array" ref="K8">_xlfn.IFS(AND(40000 &gt; G8, G8 &gt;= 30000),"Aumento 1000", AND(60000 &gt; G8, G8 &gt;= 40000),"Aumento 5000",G8 &gt;= 60000,"Aumento 10000")</f>
        <v>Aumento 5000</v>
      </c>
      <c r="L8" t="b">
        <f t="shared" si="0"/>
        <v>0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1">
        <v>37416</v>
      </c>
      <c r="I9" s="1">
        <v>42116</v>
      </c>
      <c r="J9" t="str">
        <v>Old</v>
      </c>
      <c r="K9" t="str" cm="1">
        <f t="array" ref="K9">_xlfn.IFS(AND(40000 &gt; G9, G9 &gt;= 30000),"Aumento 1000", AND(60000 &gt; G9, G9 &gt;= 40000),"Aumento 5000",G9 &gt;= 60000,"Aumento 10000")</f>
        <v>Aumento 5000</v>
      </c>
      <c r="L9" t="b">
        <f t="shared" si="0"/>
        <v>0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1">
        <v>37843</v>
      </c>
      <c r="I10" s="1">
        <v>40800</v>
      </c>
      <c r="J10" t="str">
        <v>Old</v>
      </c>
      <c r="K10" t="str" cm="1">
        <f t="array" ref="K10">_xlfn.IFS(AND(40000 &gt; G10, G10 &gt;= 30000),"Aumento 1000", AND(60000 &gt; G10, G10 &gt;= 40000),"Aumento 5000",G10 &gt;= 60000,"Aumento 10000")</f>
        <v>Aumento 5000</v>
      </c>
      <c r="L10" t="b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6" sqref="J6"/>
    </sheetView>
  </sheetViews>
  <sheetFormatPr baseColWidth="10" defaultColWidth="10.85546875" defaultRowHeight="15" x14ac:dyDescent="0.25"/>
  <cols>
    <col min="1" max="1" width="10.7109375" bestFit="1" customWidth="1"/>
  </cols>
  <sheetData>
    <row r="1" spans="1:12" x14ac:dyDescent="0.25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88</v>
      </c>
      <c r="L1" t="s">
        <v>34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1">
        <v>37197</v>
      </c>
      <c r="I2" s="1">
        <v>42253</v>
      </c>
      <c r="J2" cm="1">
        <f t="array" ref="J2:J10">LEN(B2:B10)</f>
        <v>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1">
        <v>36436</v>
      </c>
      <c r="I3" s="1">
        <v>42287</v>
      </c>
      <c r="J3">
        <v>3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1">
        <v>36711</v>
      </c>
      <c r="I4" s="1">
        <v>42986</v>
      </c>
      <c r="J4">
        <v>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1">
        <v>36530</v>
      </c>
      <c r="I5" s="1">
        <v>42341</v>
      </c>
      <c r="J5">
        <v>6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1">
        <v>37017</v>
      </c>
      <c r="I6" s="1">
        <v>42977</v>
      </c>
      <c r="J6">
        <v>4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1">
        <v>35040</v>
      </c>
      <c r="I7" s="1">
        <v>41528</v>
      </c>
      <c r="J7">
        <v>7</v>
      </c>
    </row>
    <row r="8" spans="1:12" x14ac:dyDescent="0.25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1">
        <v>37933</v>
      </c>
      <c r="I8" s="1">
        <v>41551</v>
      </c>
      <c r="J8">
        <v>8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1">
        <v>37416</v>
      </c>
      <c r="I9" s="1">
        <v>42116</v>
      </c>
      <c r="J9">
        <v>7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1">
        <v>37843</v>
      </c>
      <c r="I10" s="1">
        <v>40800</v>
      </c>
      <c r="J10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L10"/>
  <sheetViews>
    <sheetView workbookViewId="0">
      <selection activeCell="M1" sqref="M1"/>
    </sheetView>
  </sheetViews>
  <sheetFormatPr baseColWidth="10" defaultColWidth="14.5703125" defaultRowHeight="15" x14ac:dyDescent="0.25"/>
  <cols>
    <col min="4" max="4" width="8" customWidth="1"/>
    <col min="10" max="10" width="32.28515625" bestFit="1" customWidth="1"/>
  </cols>
  <sheetData>
    <row r="1" spans="1:12" x14ac:dyDescent="0.25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37</v>
      </c>
      <c r="K1" t="s">
        <v>83</v>
      </c>
      <c r="L1" t="s">
        <v>84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2" t="s">
        <v>47</v>
      </c>
      <c r="I2" s="2" t="s">
        <v>55</v>
      </c>
      <c r="J2" s="1" t="s">
        <v>38</v>
      </c>
      <c r="K2" t="str" cm="1">
        <f t="array" ref="K2:K10">LEFT(E2:E10,1)</f>
        <v>M</v>
      </c>
      <c r="L2" t="str" cm="1">
        <f t="array" ref="L2:L10">RIGHT(H2:H10,4)</f>
        <v>2001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2" t="s">
        <v>48</v>
      </c>
      <c r="I3" s="2" t="s">
        <v>56</v>
      </c>
      <c r="J3" s="1" t="s">
        <v>39</v>
      </c>
      <c r="K3" t="str">
        <v>F</v>
      </c>
      <c r="L3" t="str">
        <v>1999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2" t="s">
        <v>49</v>
      </c>
      <c r="I4" s="2" t="s">
        <v>57</v>
      </c>
      <c r="J4" s="1" t="s">
        <v>40</v>
      </c>
      <c r="K4" t="str">
        <v>M</v>
      </c>
      <c r="L4" t="str">
        <v>2000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2" t="s">
        <v>50</v>
      </c>
      <c r="I5" s="2" t="s">
        <v>58</v>
      </c>
      <c r="J5" s="1" t="s">
        <v>41</v>
      </c>
      <c r="K5" t="str">
        <v>F</v>
      </c>
      <c r="L5" t="str">
        <v>2000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2" t="s">
        <v>51</v>
      </c>
      <c r="I6" s="2" t="s">
        <v>59</v>
      </c>
      <c r="J6" s="1" t="s">
        <v>42</v>
      </c>
      <c r="K6" t="str">
        <v>M</v>
      </c>
      <c r="L6" t="str">
        <v>2001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2" t="s">
        <v>51</v>
      </c>
      <c r="I7" s="2" t="s">
        <v>60</v>
      </c>
      <c r="J7" s="1" t="s">
        <v>43</v>
      </c>
      <c r="K7" t="str">
        <v>M</v>
      </c>
      <c r="L7" t="str">
        <v>2001</v>
      </c>
    </row>
    <row r="8" spans="1:12" x14ac:dyDescent="0.25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2" t="s">
        <v>52</v>
      </c>
      <c r="I8" s="2" t="s">
        <v>60</v>
      </c>
      <c r="J8" s="1" t="s">
        <v>44</v>
      </c>
      <c r="K8" t="str">
        <v>F</v>
      </c>
      <c r="L8" t="str">
        <v>2003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2" t="s">
        <v>53</v>
      </c>
      <c r="I9" s="2" t="s">
        <v>61</v>
      </c>
      <c r="J9" s="1" t="s">
        <v>45</v>
      </c>
      <c r="K9" t="str">
        <v>M</v>
      </c>
      <c r="L9" t="str">
        <v>2002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2" t="s">
        <v>54</v>
      </c>
      <c r="I10" s="2" t="s">
        <v>61</v>
      </c>
      <c r="J10" s="1" t="s">
        <v>46</v>
      </c>
      <c r="K10" t="str">
        <v>M</v>
      </c>
      <c r="L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workbookViewId="0">
      <selection activeCell="K2" sqref="K2"/>
    </sheetView>
  </sheetViews>
  <sheetFormatPr baseColWidth="10" defaultColWidth="13.7109375" defaultRowHeight="15" x14ac:dyDescent="0.25"/>
  <cols>
    <col min="1" max="1" width="10.7109375" bestFit="1" customWidth="1"/>
    <col min="4" max="4" width="7.7109375" customWidth="1"/>
    <col min="11" max="11" width="24" customWidth="1"/>
  </cols>
  <sheetData>
    <row r="1" spans="1:11" x14ac:dyDescent="0.25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69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1">
        <v>37197</v>
      </c>
      <c r="I2" s="1">
        <v>42253</v>
      </c>
      <c r="J2" t="str" cm="1">
        <f t="array" ref="J2:J10">TEXT(H2:H10,"mm")</f>
        <v>11</v>
      </c>
      <c r="K2" t="str" cm="1">
        <f t="array" ref="K2:K10">TEXT(I2:I10,"aa")</f>
        <v>15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1">
        <v>36436</v>
      </c>
      <c r="I3" s="1">
        <v>42287</v>
      </c>
      <c r="J3" t="str">
        <v>10</v>
      </c>
      <c r="K3" s="2" t="str">
        <v>15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1">
        <v>36711</v>
      </c>
      <c r="I4" s="1">
        <v>42986</v>
      </c>
      <c r="J4" t="str">
        <v>07</v>
      </c>
      <c r="K4" s="2" t="str">
        <v>17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1">
        <v>36530</v>
      </c>
      <c r="I5" s="1">
        <v>42341</v>
      </c>
      <c r="J5" t="str">
        <v>01</v>
      </c>
      <c r="K5" s="2" t="str">
        <v>15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1">
        <v>37017</v>
      </c>
      <c r="I6" s="1">
        <v>42977</v>
      </c>
      <c r="J6" t="str">
        <v>05</v>
      </c>
      <c r="K6" s="2" t="str">
        <v>17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1">
        <v>35040</v>
      </c>
      <c r="I7" s="1">
        <v>41528</v>
      </c>
      <c r="J7" t="str">
        <v>12</v>
      </c>
      <c r="K7" s="2" t="str">
        <v>13</v>
      </c>
    </row>
    <row r="8" spans="1:11" x14ac:dyDescent="0.25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1">
        <v>37933</v>
      </c>
      <c r="I8" s="1">
        <v>41551</v>
      </c>
      <c r="J8" t="str">
        <v>11</v>
      </c>
      <c r="K8" s="2" t="str">
        <v>13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1">
        <v>37416</v>
      </c>
      <c r="I9" s="1">
        <v>42116</v>
      </c>
      <c r="J9" t="str">
        <v>06</v>
      </c>
      <c r="K9" s="2" t="str">
        <v>15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1">
        <v>37843</v>
      </c>
      <c r="I10" s="1">
        <v>40800</v>
      </c>
      <c r="J10" t="str">
        <v>08</v>
      </c>
      <c r="K10" s="2" t="str">
        <v>11</v>
      </c>
    </row>
    <row r="12" spans="1:11" x14ac:dyDescent="0.25">
      <c r="H12" s="1"/>
    </row>
    <row r="13" spans="1:11" x14ac:dyDescent="0.2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6" sqref="J6"/>
    </sheetView>
  </sheetViews>
  <sheetFormatPr baseColWidth="10"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67</v>
      </c>
      <c r="K1" t="s">
        <v>68</v>
      </c>
    </row>
    <row r="2" spans="1:11" x14ac:dyDescent="0.25">
      <c r="A2">
        <v>1001</v>
      </c>
      <c r="B2" s="2" t="s">
        <v>2</v>
      </c>
      <c r="C2" s="2" t="s">
        <v>3</v>
      </c>
      <c r="D2">
        <v>30</v>
      </c>
      <c r="E2" t="s">
        <v>25</v>
      </c>
      <c r="F2" t="s">
        <v>24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25">
      <c r="A3">
        <v>1002</v>
      </c>
      <c r="B3" s="2" t="s">
        <v>4</v>
      </c>
      <c r="C3" s="2" t="s">
        <v>5</v>
      </c>
      <c r="D3">
        <v>30</v>
      </c>
      <c r="E3" t="s">
        <v>27</v>
      </c>
      <c r="F3" t="s">
        <v>26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25">
      <c r="A4">
        <v>1003</v>
      </c>
      <c r="B4" s="2" t="s">
        <v>6</v>
      </c>
      <c r="C4" s="2" t="s">
        <v>66</v>
      </c>
      <c r="D4">
        <v>29</v>
      </c>
      <c r="E4" t="s">
        <v>25</v>
      </c>
      <c r="F4" t="s">
        <v>24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25">
      <c r="A5">
        <v>1004</v>
      </c>
      <c r="B5" s="2" t="s">
        <v>13</v>
      </c>
      <c r="C5" s="2" t="s">
        <v>12</v>
      </c>
      <c r="D5">
        <v>31</v>
      </c>
      <c r="E5" t="s">
        <v>27</v>
      </c>
      <c r="F5" t="s">
        <v>28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25">
      <c r="A6">
        <v>1005</v>
      </c>
      <c r="B6" s="2" t="s">
        <v>14</v>
      </c>
      <c r="C6" s="2" t="s">
        <v>65</v>
      </c>
      <c r="D6">
        <v>32</v>
      </c>
      <c r="E6" t="s">
        <v>25</v>
      </c>
      <c r="F6" t="s">
        <v>29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25">
      <c r="A7">
        <v>1006</v>
      </c>
      <c r="B7" s="2" t="s">
        <v>8</v>
      </c>
      <c r="C7" s="2" t="s">
        <v>64</v>
      </c>
      <c r="D7">
        <v>35</v>
      </c>
      <c r="E7" t="s">
        <v>25</v>
      </c>
      <c r="F7" t="s">
        <v>30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25">
      <c r="A8">
        <v>1007</v>
      </c>
      <c r="B8" s="2" t="s">
        <v>32</v>
      </c>
      <c r="C8" s="2" t="s">
        <v>33</v>
      </c>
      <c r="D8">
        <v>32</v>
      </c>
      <c r="E8" t="s">
        <v>27</v>
      </c>
      <c r="F8" t="s">
        <v>31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25">
      <c r="A9">
        <v>1008</v>
      </c>
      <c r="B9" s="2" t="s">
        <v>16</v>
      </c>
      <c r="C9" s="2" t="s">
        <v>63</v>
      </c>
      <c r="D9">
        <v>38</v>
      </c>
      <c r="E9" t="s">
        <v>25</v>
      </c>
      <c r="F9" t="s">
        <v>24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25">
      <c r="A10">
        <v>1009</v>
      </c>
      <c r="B10" s="2" t="s">
        <v>10</v>
      </c>
      <c r="C10" s="2" t="s">
        <v>62</v>
      </c>
      <c r="D10">
        <v>31</v>
      </c>
      <c r="E10" t="s">
        <v>25</v>
      </c>
      <c r="F10" t="s">
        <v>28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K5" sqref="K5"/>
    </sheetView>
  </sheetViews>
  <sheetFormatPr baseColWidth="10" defaultColWidth="9.140625"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  <col min="11" max="11" width="10.85546875" bestFit="1" customWidth="1"/>
  </cols>
  <sheetData>
    <row r="1" spans="1:11" x14ac:dyDescent="0.25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18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1">
        <v>37197</v>
      </c>
      <c r="I2" s="1">
        <v>42253</v>
      </c>
      <c r="J2" t="str">
        <f>_xlfn.CONCAT(C2," ", B2)</f>
        <v>Halpert Jim</v>
      </c>
      <c r="K2" t="str">
        <f>CONCATENATE(C2,".",B2,"@gmail.com")</f>
        <v>Halpert.Jim@gmail.com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1">
        <v>36436</v>
      </c>
      <c r="I3" s="1">
        <v>42287</v>
      </c>
      <c r="J3" t="str">
        <f t="shared" ref="J3:J12" si="0">_xlfn.CONCAT(C3," ", B3)</f>
        <v>Beasley Pam</v>
      </c>
      <c r="K3" t="str">
        <f t="shared" ref="K3:K10" si="1">CONCATENATE(C3,".",B3,"@gmail.com")</f>
        <v>Beasley.Pam@gmail.com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1">
        <v>36711</v>
      </c>
      <c r="I4" s="1">
        <v>42986</v>
      </c>
      <c r="J4" t="str">
        <f t="shared" si="0"/>
        <v>Schrute Dwight</v>
      </c>
      <c r="K4" t="str">
        <f t="shared" si="1"/>
        <v>Schrute.Dwight@gmail.com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1">
        <v>36530</v>
      </c>
      <c r="I5" s="1">
        <v>42341</v>
      </c>
      <c r="J5" t="str">
        <f t="shared" si="0"/>
        <v>Martin Angela</v>
      </c>
      <c r="K5" t="str">
        <f t="shared" si="1"/>
        <v>Martin.Angela@gmail.com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1">
        <v>37017</v>
      </c>
      <c r="I6" s="1">
        <v>42977</v>
      </c>
      <c r="J6" t="str">
        <f t="shared" si="0"/>
        <v>Flenderson Toby</v>
      </c>
      <c r="K6" t="str">
        <f t="shared" si="1"/>
        <v>Flenderson.Toby@gmail.com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1">
        <v>35040</v>
      </c>
      <c r="I7" s="1">
        <v>41528</v>
      </c>
      <c r="J7" t="str">
        <f t="shared" si="0"/>
        <v>Scott Michael</v>
      </c>
      <c r="K7" t="str">
        <f t="shared" si="1"/>
        <v>Scott.Michael@gmail.com</v>
      </c>
    </row>
    <row r="8" spans="1:11" x14ac:dyDescent="0.25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1">
        <v>37933</v>
      </c>
      <c r="I8" s="1">
        <v>41551</v>
      </c>
      <c r="J8" t="str">
        <f t="shared" si="0"/>
        <v>Palmer Meredith</v>
      </c>
      <c r="K8" t="str">
        <f t="shared" si="1"/>
        <v>Palmer.Meredith@gmail.com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1">
        <v>37416</v>
      </c>
      <c r="I9" s="1">
        <v>42116</v>
      </c>
      <c r="J9" t="str">
        <f t="shared" si="0"/>
        <v>Hudson Stanley</v>
      </c>
      <c r="K9" t="str">
        <f t="shared" si="1"/>
        <v>Hudson.Stanley@gmail.com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1">
        <v>37843</v>
      </c>
      <c r="I10" s="1">
        <v>40800</v>
      </c>
      <c r="J10" t="str">
        <f t="shared" si="0"/>
        <v>Malone Kevin</v>
      </c>
      <c r="K10" t="str">
        <f t="shared" si="1"/>
        <v>Malone.Kevin@gmail.com</v>
      </c>
    </row>
    <row r="11" spans="1:11" x14ac:dyDescent="0.25">
      <c r="H11" t="str">
        <f t="shared" ref="H11:H12" si="2">CONCATENATE(B11," ",C11)</f>
        <v xml:space="preserve"> </v>
      </c>
      <c r="J11" t="str">
        <f t="shared" si="0"/>
        <v xml:space="preserve"> </v>
      </c>
    </row>
    <row r="12" spans="1:11" x14ac:dyDescent="0.25">
      <c r="H12" t="str">
        <f t="shared" si="2"/>
        <v xml:space="preserve"> </v>
      </c>
      <c r="J12" t="str">
        <f t="shared" si="0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L2" sqref="L2"/>
    </sheetView>
  </sheetViews>
  <sheetFormatPr baseColWidth="10"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70</v>
      </c>
      <c r="K1" t="s">
        <v>71</v>
      </c>
      <c r="L1" t="s">
        <v>72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2" t="s">
        <v>47</v>
      </c>
      <c r="I2" s="2" t="s">
        <v>55</v>
      </c>
      <c r="J2" t="str" cm="1">
        <f t="array" ref="J2:J10">SUBSTITUTE(H2:H10,"/","-",1)</f>
        <v>11-2/2001</v>
      </c>
      <c r="K2" t="str" cm="1">
        <f t="array" ref="K2:K10">SUBSTITUTE(H2:H10,"/","-",2)</f>
        <v>11/2-2001</v>
      </c>
      <c r="L2" t="str" cm="1">
        <f t="array" ref="L2:L10">SUBSTITUTE(H2:H10,"/","-")</f>
        <v>11-2-2001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2" t="s">
        <v>48</v>
      </c>
      <c r="I3" s="2" t="s">
        <v>56</v>
      </c>
      <c r="J3" t="str">
        <v>10-3/1999</v>
      </c>
      <c r="K3" t="str">
        <v>10/3-1999</v>
      </c>
      <c r="L3" t="str">
        <v>10-3-1999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2" t="s">
        <v>49</v>
      </c>
      <c r="I4" s="2" t="s">
        <v>57</v>
      </c>
      <c r="J4" t="str">
        <v>7-4/2000</v>
      </c>
      <c r="K4" t="str">
        <v>7/4-2000</v>
      </c>
      <c r="L4" t="str">
        <v>7-4-2000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2" t="s">
        <v>50</v>
      </c>
      <c r="I5" s="2" t="s">
        <v>58</v>
      </c>
      <c r="J5" t="str">
        <v>1-5/2000</v>
      </c>
      <c r="K5" t="str">
        <v>1/5-2000</v>
      </c>
      <c r="L5" t="str">
        <v>1-5-2000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2" t="s">
        <v>51</v>
      </c>
      <c r="I6" s="2" t="s">
        <v>59</v>
      </c>
      <c r="J6" t="str">
        <v>5-6/2001</v>
      </c>
      <c r="K6" t="str">
        <v>5/6-2001</v>
      </c>
      <c r="L6" t="str">
        <v>5-6-2001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2" t="s">
        <v>51</v>
      </c>
      <c r="I7" s="2" t="s">
        <v>60</v>
      </c>
      <c r="J7" t="str">
        <v>5-6/2001</v>
      </c>
      <c r="K7" t="str">
        <v>5/6-2001</v>
      </c>
      <c r="L7" t="str">
        <v>5-6-2001</v>
      </c>
    </row>
    <row r="8" spans="1:12" x14ac:dyDescent="0.25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2" t="s">
        <v>52</v>
      </c>
      <c r="I8" s="2" t="s">
        <v>60</v>
      </c>
      <c r="J8" t="str">
        <v>11-8/2003</v>
      </c>
      <c r="K8" t="str">
        <v>11/8-2003</v>
      </c>
      <c r="L8" t="str">
        <v>11-8-2003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2" t="s">
        <v>53</v>
      </c>
      <c r="I9" s="2" t="s">
        <v>61</v>
      </c>
      <c r="J9" t="str">
        <v>6-9/2002</v>
      </c>
      <c r="K9" t="str">
        <v>6/9-2002</v>
      </c>
      <c r="L9" t="str">
        <v>6-9-2002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2" t="s">
        <v>54</v>
      </c>
      <c r="I10" s="2" t="s">
        <v>61</v>
      </c>
      <c r="J10" t="str">
        <v>8-10/2003</v>
      </c>
      <c r="K10" t="str">
        <v>8/10-2003</v>
      </c>
      <c r="L10" t="str">
        <v>8-10-2003</v>
      </c>
    </row>
    <row r="12" spans="1:12" x14ac:dyDescent="0.25">
      <c r="H12" s="2"/>
      <c r="I12" s="2"/>
    </row>
    <row r="13" spans="1:12" x14ac:dyDescent="0.25">
      <c r="H13" s="2"/>
      <c r="I13" s="2"/>
    </row>
    <row r="14" spans="1:12" x14ac:dyDescent="0.25">
      <c r="H14" s="2"/>
      <c r="I14" s="2"/>
    </row>
    <row r="15" spans="1:12" x14ac:dyDescent="0.25">
      <c r="H15" s="2"/>
      <c r="I15" s="2"/>
    </row>
    <row r="16" spans="1:12" x14ac:dyDescent="0.25">
      <c r="H16" s="2"/>
      <c r="I16" s="2"/>
    </row>
    <row r="17" spans="8:9" x14ac:dyDescent="0.25">
      <c r="H17" s="2"/>
      <c r="I17" s="2"/>
    </row>
    <row r="18" spans="8:9" x14ac:dyDescent="0.25">
      <c r="H18" s="2"/>
      <c r="I18" s="2"/>
    </row>
    <row r="19" spans="8:9" x14ac:dyDescent="0.25">
      <c r="H19" s="2"/>
      <c r="I19" s="2"/>
    </row>
    <row r="20" spans="8:9" x14ac:dyDescent="0.25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2" sqref="L2"/>
    </sheetView>
  </sheetViews>
  <sheetFormatPr baseColWidth="10" defaultColWidth="13" defaultRowHeight="15" x14ac:dyDescent="0.25"/>
  <sheetData>
    <row r="1" spans="1:12" x14ac:dyDescent="0.25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73</v>
      </c>
      <c r="K1" t="s">
        <v>74</v>
      </c>
      <c r="L1" t="s">
        <v>75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SUMIF(G2:G10,"&gt;47000")</f>
        <v>226000</v>
      </c>
      <c r="L2">
        <f>SUMIFS(G2:G10, E2:E10, "Female", D2:D10, "&lt;32")</f>
        <v>83000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3" sqref="L3"/>
    </sheetView>
  </sheetViews>
  <sheetFormatPr baseColWidth="10"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76</v>
      </c>
      <c r="K1" t="s">
        <v>77</v>
      </c>
      <c r="L1" t="s">
        <v>78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COUNTIF(G2:G10,"&gt;47000")</f>
        <v>4</v>
      </c>
      <c r="L2">
        <f>COUNTIFS(G2:G10,"&lt;50000",E2:E10, "Female")</f>
        <v>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F26" sqref="F26"/>
    </sheetView>
  </sheetViews>
  <sheetFormatPr baseColWidth="10" defaultColWidth="9.140625" defaultRowHeight="15" x14ac:dyDescent="0.25"/>
  <cols>
    <col min="8" max="8" width="14.42578125" customWidth="1"/>
    <col min="9" max="9" width="13.28515625" customWidth="1"/>
    <col min="11" max="11" width="16.42578125" customWidth="1"/>
  </cols>
  <sheetData>
    <row r="1" spans="1:11" x14ac:dyDescent="0.25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81</v>
      </c>
      <c r="K1" t="s">
        <v>82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1">
        <v>36933</v>
      </c>
      <c r="I2" s="1">
        <v>42164</v>
      </c>
      <c r="J2">
        <f>_xlfn.DAYS(I2,H2)</f>
        <v>5231</v>
      </c>
      <c r="K2">
        <f>NETWORKDAYS(H2,I2)</f>
        <v>3737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1">
        <v>36229</v>
      </c>
      <c r="I3" s="1">
        <v>42287</v>
      </c>
      <c r="J3">
        <f t="shared" ref="J3:J10" si="0">_xlfn.DAYS(I3,H3)</f>
        <v>6058</v>
      </c>
      <c r="K3">
        <f t="shared" ref="K3:K10" si="1">NETWORKDAYS(H3,I3)</f>
        <v>4328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1">
        <v>36623</v>
      </c>
      <c r="I4" s="1">
        <v>42956</v>
      </c>
      <c r="J4">
        <f t="shared" si="0"/>
        <v>6333</v>
      </c>
      <c r="K4">
        <f t="shared" si="1"/>
        <v>4524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1">
        <v>36647</v>
      </c>
      <c r="I5" s="1">
        <v>42075</v>
      </c>
      <c r="J5">
        <f t="shared" si="0"/>
        <v>5428</v>
      </c>
      <c r="K5">
        <f t="shared" si="1"/>
        <v>3879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1">
        <v>37047</v>
      </c>
      <c r="I6" s="1">
        <v>42977</v>
      </c>
      <c r="J6">
        <f t="shared" si="0"/>
        <v>5930</v>
      </c>
      <c r="K6">
        <f t="shared" si="1"/>
        <v>4237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1">
        <v>37047</v>
      </c>
      <c r="I7" s="1">
        <v>41587</v>
      </c>
      <c r="J7">
        <f t="shared" si="0"/>
        <v>4540</v>
      </c>
      <c r="K7">
        <f t="shared" si="1"/>
        <v>3244</v>
      </c>
    </row>
    <row r="8" spans="1:11" x14ac:dyDescent="0.25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1">
        <v>37844</v>
      </c>
      <c r="I8" s="1">
        <v>41587</v>
      </c>
      <c r="J8">
        <f t="shared" si="0"/>
        <v>3743</v>
      </c>
      <c r="K8">
        <f t="shared" si="1"/>
        <v>2675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1">
        <v>37505</v>
      </c>
      <c r="I9" s="1">
        <v>42116</v>
      </c>
      <c r="J9">
        <f t="shared" si="0"/>
        <v>4611</v>
      </c>
      <c r="K9">
        <f t="shared" si="1"/>
        <v>3294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1">
        <v>37902</v>
      </c>
      <c r="I10" s="1">
        <v>42116</v>
      </c>
      <c r="J10">
        <f t="shared" si="0"/>
        <v>4214</v>
      </c>
      <c r="K10" s="4">
        <f t="shared" si="1"/>
        <v>3011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JOSHUA AZAEL SANCHEZ CRUZ</cp:lastModifiedBy>
  <dcterms:created xsi:type="dcterms:W3CDTF">2021-12-16T14:18:34Z</dcterms:created>
  <dcterms:modified xsi:type="dcterms:W3CDTF">2026-03-31T01:14:18Z</dcterms:modified>
</cp:coreProperties>
</file>